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nior HO\SPK WUR\SPK 761\"/>
    </mc:Choice>
  </mc:AlternateContent>
  <xr:revisionPtr revIDLastSave="0" documentId="13_ncr:1_{5B5533CD-EE20-4CD4-BE11-3BA49A9E196E}" xr6:coauthVersionLast="47" xr6:coauthVersionMax="47" xr10:uidLastSave="{00000000-0000-0000-0000-000000000000}"/>
  <bookViews>
    <workbookView xWindow="-110" yWindow="-110" windowWidth="19420" windowHeight="10300" xr2:uid="{8819622B-174B-4CEC-9CEB-9DADFD741B7F}"/>
  </bookViews>
  <sheets>
    <sheet name="WAP" sheetId="1" r:id="rId1"/>
    <sheet name="BOQ." sheetId="7" r:id="rId2"/>
    <sheet name="Sheet1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8" l="1"/>
  <c r="G9" i="8"/>
  <c r="H8" i="8"/>
  <c r="G8" i="8"/>
</calcChain>
</file>

<file path=xl/sharedStrings.xml><?xml version="1.0" encoding="utf-8"?>
<sst xmlns="http://schemas.openxmlformats.org/spreadsheetml/2006/main" count="221" uniqueCount="146">
  <si>
    <t>Assigned To</t>
  </si>
  <si>
    <t>SPHR00761A [PT. RIFANSI DWI PUTRA - RDPE] SMO</t>
  </si>
  <si>
    <t>WAP No:</t>
  </si>
  <si>
    <t>SPK No:</t>
  </si>
  <si>
    <t>Work Title:</t>
  </si>
  <si>
    <t>Issued Date:</t>
  </si>
  <si>
    <t>Operation Unit:</t>
  </si>
  <si>
    <t>Work Location:</t>
  </si>
  <si>
    <t>Permitting Type:</t>
  </si>
  <si>
    <t>Project &amp; Technical Engineering</t>
  </si>
  <si>
    <t>NON GAKKUM</t>
  </si>
  <si>
    <t>Originator:</t>
  </si>
  <si>
    <t>Team Name:</t>
  </si>
  <si>
    <t>PROJECT WELL DEVELOPMENT</t>
  </si>
  <si>
    <t>WBS/Cost Center Code:</t>
  </si>
  <si>
    <t>Company Representative:</t>
  </si>
  <si>
    <t>Work Detail Description:</t>
  </si>
  <si>
    <t>Attachment(s):</t>
  </si>
  <si>
    <t>Proposed Payment Method:</t>
  </si>
  <si>
    <t>Work Scope:</t>
  </si>
  <si>
    <t>Work Scope Discipline:</t>
  </si>
  <si>
    <t>Planed</t>
  </si>
  <si>
    <t>Site KOM</t>
  </si>
  <si>
    <t>MAC</t>
  </si>
  <si>
    <t>End Date:</t>
  </si>
  <si>
    <t>Duration (Day(s)):</t>
  </si>
  <si>
    <t>Commitment Date (as reference for penalty calculation):</t>
  </si>
  <si>
    <t>Duration : N/A</t>
  </si>
  <si>
    <t>Actual Date :</t>
  </si>
  <si>
    <t>PO/SPK Closure Date :</t>
  </si>
  <si>
    <t>End : N/A</t>
  </si>
  <si>
    <t>Commitment : N/A</t>
  </si>
  <si>
    <t>Actual : N/A</t>
  </si>
  <si>
    <t>There's no penalty </t>
  </si>
  <si>
    <t>Work Type:</t>
  </si>
  <si>
    <t>Construction Cost ():</t>
  </si>
  <si>
    <t>Estimate Cost at Completion ():</t>
  </si>
  <si>
    <t>Work Unit Rate (WUR)</t>
  </si>
  <si>
    <t>Estimated</t>
  </si>
  <si>
    <t>:</t>
  </si>
  <si>
    <t>Contractor Supervision:</t>
  </si>
  <si>
    <t>Description</t>
  </si>
  <si>
    <t>Unit</t>
  </si>
  <si>
    <t>Non Remote</t>
  </si>
  <si>
    <t>Remote</t>
  </si>
  <si>
    <t>Total Price</t>
  </si>
  <si>
    <t>Rate</t>
  </si>
  <si>
    <t>Qty</t>
  </si>
  <si>
    <t>PILING</t>
  </si>
  <si>
    <t>Install Steel Pipe Pile</t>
  </si>
  <si>
    <t>  </t>
  </si>
  <si>
    <t>Install Steel Pipe Pile 8"</t>
  </si>
  <si>
    <t>Meter</t>
  </si>
  <si>
    <t>Install Steel Pipe Pile 24"</t>
  </si>
  <si>
    <t>EARTHWORK &amp; CIVIL</t>
  </si>
  <si>
    <t>Earthworks</t>
  </si>
  <si>
    <t>Earthworks Fill from Company Designated Location, Haul &amp; Compacted (with hauling distance from 0.5 KM to 15 KM)</t>
  </si>
  <si>
    <t>Cu. Meter</t>
  </si>
  <si>
    <t>Land Clearing and Grubbing</t>
  </si>
  <si>
    <t>Sq. Meter</t>
  </si>
  <si>
    <t>Mud Pit Excavation/Construction</t>
  </si>
  <si>
    <t>Mud Pit Closing, Exclude Additional Dirt Fill</t>
  </si>
  <si>
    <t>Dress-up Road &amp; Well Pad</t>
  </si>
  <si>
    <t>Structural Steel Works</t>
  </si>
  <si>
    <t>Install Steel Cellar Box</t>
  </si>
  <si>
    <t>Each</t>
  </si>
  <si>
    <t>Dismantle Steel Cellar Box</t>
  </si>
  <si>
    <t>Miscellaneous Works</t>
  </si>
  <si>
    <t>Install HDPE Geomembrane</t>
  </si>
  <si>
    <t>Fabricate and Install Rig Substructure Foundation</t>
  </si>
  <si>
    <t>Dismantle Rig Substructure Foundation</t>
  </si>
  <si>
    <t>SURVEY</t>
  </si>
  <si>
    <t>Survey Work</t>
  </si>
  <si>
    <t>Survey Works - Survey &amp; Construction Drawing for Well Program</t>
  </si>
  <si>
    <t>Package</t>
  </si>
  <si>
    <t>SOIL &amp; CIVIL TESTING</t>
  </si>
  <si>
    <t>Laboratory Testing</t>
  </si>
  <si>
    <t>Moisture-Density Relations (Compaction) Test, ASTM D1557</t>
  </si>
  <si>
    <t>Test</t>
  </si>
  <si>
    <t>TOTAL</t>
  </si>
  <si>
    <t xml:space="preserve">Work Unit Rate </t>
  </si>
  <si>
    <t xml:space="preserve">Start : N/A  </t>
  </si>
  <si>
    <t xml:space="preserve">End : N/A  </t>
  </si>
  <si>
    <t xml:space="preserve">Start : </t>
  </si>
  <si>
    <t>articleWork Area</t>
  </si>
  <si>
    <t>articleStart date is related to:</t>
  </si>
  <si>
    <t>articleEnd date is related to:</t>
  </si>
  <si>
    <t>article Start Date:</t>
  </si>
  <si>
    <t>articleWAP (WORK ASSIGNMENT PROPOSAL)</t>
  </si>
  <si>
    <t>Soil/Dirt Hauling, distance 10-15 km (without compaction)</t>
  </si>
  <si>
    <t>Planning Number</t>
  </si>
  <si>
    <t>PXXX00000065403</t>
  </si>
  <si>
    <t>SOUTH/Non Remote</t>
  </si>
  <si>
    <t>Road and Location New Well P_MINA25_0029 (Exist. Well 6C-17)</t>
  </si>
  <si>
    <t>Minas Field</t>
  </si>
  <si>
    <t>Deden Kurniawan Putra</t>
  </si>
  <si>
    <t>SSM2/404/3230533DR/ICC14</t>
  </si>
  <si>
    <t>Syawal</t>
  </si>
  <si>
    <t>Road and Location Construction work package are: General - Mobilization and Demobilization - Perform materials inventory and project close out report - Develop as built drawing - Inventory and Final Report Services Road &amp; Location - Stake out area for construction - Clearing and grubbing of Road and Location - Hauling of soil material, filling and compacting - Cellar Box and RSS Fabrication - Pilling foundation for RSS, pipe support, Structure and guy line - Cellar Box Installation and Demolition - RSS Installation and Demolition - Installation of property boundary markers - Construction and closing Mud Pit - Road and well pad dress up after rig move out.</t>
  </si>
  <si>
    <t>Well Programs</t>
  </si>
  <si>
    <t>JASA PENGAWASAN KONSTRUKSI SELATAN-PROSYS</t>
  </si>
  <si>
    <t>Install Steel Pipe Pile 4"</t>
  </si>
  <si>
    <t>Earthworks Fill from Company Designated Location, Haul &amp; Compacted, Balanced Cut/Fill (with hauling distance &lt; 0.5 KM)</t>
  </si>
  <si>
    <t>Earthworks Cut/Excavation</t>
  </si>
  <si>
    <t>Soil/Dirt Hauling, distance 0-10 KM (without compaction)</t>
  </si>
  <si>
    <t>Fabricate and Install Structural Steel</t>
  </si>
  <si>
    <t>Kilogram</t>
  </si>
  <si>
    <t>Removal/Demolish Works</t>
  </si>
  <si>
    <t>Removal/Demolish Steel Structure</t>
  </si>
  <si>
    <t>Removal/Demolish Reinforced concrete</t>
  </si>
  <si>
    <t>Laboratory Testing for Soil Properties</t>
  </si>
  <si>
    <t>Natural Moisture Content, ASTM D2216</t>
  </si>
  <si>
    <t>Specific Gravity, ASTM D854</t>
  </si>
  <si>
    <t>Bulk Density Test, ASTM D7263</t>
  </si>
  <si>
    <t>Sieve Analysis of Fine and Coarse Aggregates, ASTM C136</t>
  </si>
  <si>
    <t>Atterberg Limit Test, ASTM D4318</t>
  </si>
  <si>
    <t>Particle-Size Analysis for Cohessive Soils ASTM D422</t>
  </si>
  <si>
    <t>NO</t>
  </si>
  <si>
    <t>Description Of work</t>
  </si>
  <si>
    <t>Area</t>
  </si>
  <si>
    <t>Team</t>
  </si>
  <si>
    <t>DRMI</t>
  </si>
  <si>
    <t>DRMO</t>
  </si>
  <si>
    <t>Plan Start</t>
  </si>
  <si>
    <t>Plan finish</t>
  </si>
  <si>
    <t>SCHEDULE</t>
  </si>
  <si>
    <t>KETERANGAN</t>
  </si>
  <si>
    <t>JUNI 25</t>
  </si>
  <si>
    <t>AGUSTUS 25</t>
  </si>
  <si>
    <t>OKTOBER 25</t>
  </si>
  <si>
    <t>DESEMBER 25</t>
  </si>
  <si>
    <t>W1</t>
  </si>
  <si>
    <t>W2</t>
  </si>
  <si>
    <t>W3</t>
  </si>
  <si>
    <t>W4</t>
  </si>
  <si>
    <t>W5</t>
  </si>
  <si>
    <t>P_MINA25_0029</t>
  </si>
  <si>
    <t>Minas</t>
  </si>
  <si>
    <t xml:space="preserve"> RDPE</t>
  </si>
  <si>
    <t xml:space="preserve"> Construction </t>
  </si>
  <si>
    <t xml:space="preserve"> RFD </t>
  </si>
  <si>
    <t>Clearing &amp; Grubing</t>
  </si>
  <si>
    <t>Soil Filling &amp; Compacting Until RFD</t>
  </si>
  <si>
    <t>RFD</t>
  </si>
  <si>
    <t>After DRMO</t>
  </si>
  <si>
    <t>CCMSPHR/SPK/3700192035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</si>
</sst>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5"/>
      <color rgb="FFFFFFFF"/>
      <name val="Verdana"/>
      <family val="2"/>
    </font>
    <font>
      <sz val="5"/>
      <color rgb="FF000000"/>
      <name val="Verdana"/>
      <family val="2"/>
    </font>
    <font>
      <b/>
      <sz val="5"/>
      <color rgb="FF000000"/>
      <name val="Verdana"/>
      <family val="2"/>
    </font>
    <font>
      <b/>
      <sz val="8.8000000000000007"/>
      <color rgb="FF5D5946"/>
      <name val="Verdana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name val="Arial"/>
      <family val="2"/>
    </font>
    <font>
      <sz val="6"/>
      <color rgb="FF000000"/>
      <name val="Calibri"/>
      <family val="2"/>
    </font>
    <font>
      <b/>
      <sz val="6"/>
      <color rgb="FFFFFFFF"/>
      <name val="Calibri"/>
      <family val="2"/>
    </font>
    <font>
      <b/>
      <sz val="6"/>
      <color rgb="FF000000"/>
      <name val="Calibri"/>
      <family val="2"/>
    </font>
    <font>
      <b/>
      <sz val="8"/>
      <color rgb="FFFFFFFF"/>
      <name val="Calibri"/>
      <family val="2"/>
    </font>
    <font>
      <sz val="8"/>
      <name val="Arial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8E7E75"/>
        <bgColor indexed="64"/>
      </patternFill>
    </fill>
    <fill>
      <patternFill patternType="solid">
        <fgColor rgb="FFFFF6C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CF6D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/>
      <diagonal/>
    </border>
    <border>
      <left style="medium">
        <color rgb="FF000000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000000"/>
      </top>
      <bottom style="medium">
        <color rgb="FFFFFFFF"/>
      </bottom>
      <diagonal/>
    </border>
    <border>
      <left/>
      <right/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/>
      <diagonal/>
    </border>
    <border>
      <left style="medium">
        <color rgb="FFFFFFFF"/>
      </left>
      <right style="medium">
        <color rgb="FF000000"/>
      </right>
      <top/>
      <bottom/>
      <diagonal/>
    </border>
    <border>
      <left style="medium">
        <color rgb="FFFFFFFF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FFFFFF"/>
      </top>
      <bottom style="thin">
        <color rgb="FF000000"/>
      </bottom>
      <diagonal/>
    </border>
    <border>
      <left/>
      <right/>
      <top style="medium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6" fillId="3" borderId="0" xfId="1" applyFill="1" applyAlignment="1">
      <alignment horizontal="left" vertical="top" wrapText="1"/>
    </xf>
    <xf numFmtId="0" fontId="2" fillId="2" borderId="0" xfId="0" applyFont="1" applyFill="1" applyAlignment="1">
      <alignment horizontal="right" vertical="top" wrapText="1"/>
    </xf>
    <xf numFmtId="0" fontId="0" fillId="3" borderId="0" xfId="0" applyFill="1" applyAlignment="1">
      <alignment vertical="center" wrapText="1"/>
    </xf>
    <xf numFmtId="4" fontId="1" fillId="3" borderId="0" xfId="0" applyNumberFormat="1" applyFont="1" applyFill="1" applyAlignment="1">
      <alignment horizontal="right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15" fontId="4" fillId="3" borderId="0" xfId="0" applyNumberFormat="1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6" fillId="3" borderId="0" xfId="1" applyFill="1" applyAlignment="1">
      <alignment vertical="top" wrapText="1"/>
    </xf>
    <xf numFmtId="0" fontId="4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center" vertical="top" wrapText="1"/>
    </xf>
    <xf numFmtId="164" fontId="0" fillId="0" borderId="0" xfId="0" applyNumberFormat="1"/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1" fillId="7" borderId="5" xfId="0" applyFont="1" applyFill="1" applyBorder="1"/>
    <xf numFmtId="0" fontId="1" fillId="7" borderId="6" xfId="0" applyFont="1" applyFill="1" applyBorder="1"/>
    <xf numFmtId="164" fontId="1" fillId="7" borderId="6" xfId="0" applyNumberFormat="1" applyFont="1" applyFill="1" applyBorder="1"/>
    <xf numFmtId="164" fontId="1" fillId="7" borderId="7" xfId="0" applyNumberFormat="1" applyFont="1" applyFill="1" applyBorder="1"/>
    <xf numFmtId="0" fontId="1" fillId="6" borderId="8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0" fillId="6" borderId="8" xfId="0" applyFill="1" applyBorder="1" applyAlignment="1">
      <alignment horizontal="right" vertical="center"/>
    </xf>
    <xf numFmtId="0" fontId="0" fillId="6" borderId="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right" vertical="center"/>
    </xf>
    <xf numFmtId="0" fontId="1" fillId="6" borderId="8" xfId="0" applyFont="1" applyFill="1" applyBorder="1" applyAlignment="1">
      <alignment horizontal="left" vertical="center" wrapText="1"/>
    </xf>
    <xf numFmtId="0" fontId="1" fillId="6" borderId="8" xfId="0" applyFont="1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1" fillId="6" borderId="8" xfId="0" applyFont="1" applyFill="1" applyBorder="1" applyAlignment="1">
      <alignment horizontal="left"/>
    </xf>
    <xf numFmtId="0" fontId="0" fillId="6" borderId="9" xfId="0" applyFill="1" applyBorder="1"/>
    <xf numFmtId="0" fontId="0" fillId="6" borderId="8" xfId="0" applyFill="1" applyBorder="1"/>
    <xf numFmtId="0" fontId="0" fillId="6" borderId="9" xfId="0" applyFill="1" applyBorder="1" applyAlignment="1">
      <alignment horizontal="left"/>
    </xf>
    <xf numFmtId="0" fontId="0" fillId="6" borderId="10" xfId="0" applyFill="1" applyBorder="1"/>
    <xf numFmtId="0" fontId="0" fillId="6" borderId="11" xfId="0" applyFill="1" applyBorder="1"/>
    <xf numFmtId="0" fontId="7" fillId="5" borderId="12" xfId="0" applyFont="1" applyFill="1" applyBorder="1" applyAlignment="1">
      <alignment horizontal="center" vertical="center" wrapText="1"/>
    </xf>
    <xf numFmtId="164" fontId="7" fillId="5" borderId="13" xfId="0" applyNumberFormat="1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164" fontId="7" fillId="5" borderId="14" xfId="0" applyNumberFormat="1" applyFont="1" applyFill="1" applyBorder="1" applyAlignment="1">
      <alignment horizontal="center" vertical="center" wrapText="1"/>
    </xf>
    <xf numFmtId="164" fontId="7" fillId="5" borderId="15" xfId="0" applyNumberFormat="1" applyFont="1" applyFill="1" applyBorder="1" applyAlignment="1">
      <alignment horizontal="center" vertical="center" wrapText="1"/>
    </xf>
    <xf numFmtId="0" fontId="0" fillId="4" borderId="16" xfId="0" applyFill="1" applyBorder="1" applyAlignment="1">
      <alignment vertical="center" wrapText="1"/>
    </xf>
    <xf numFmtId="164" fontId="0" fillId="4" borderId="16" xfId="0" applyNumberFormat="1" applyFill="1" applyBorder="1" applyAlignment="1">
      <alignment vertical="center" wrapText="1"/>
    </xf>
    <xf numFmtId="0" fontId="0" fillId="4" borderId="16" xfId="0" applyFill="1" applyBorder="1"/>
    <xf numFmtId="164" fontId="0" fillId="4" borderId="17" xfId="0" applyNumberFormat="1" applyFill="1" applyBorder="1"/>
    <xf numFmtId="0" fontId="1" fillId="6" borderId="18" xfId="0" applyFont="1" applyFill="1" applyBorder="1" applyAlignment="1">
      <alignment horizontal="left" vertical="center" wrapText="1"/>
    </xf>
    <xf numFmtId="164" fontId="1" fillId="6" borderId="18" xfId="0" applyNumberFormat="1" applyFont="1" applyFill="1" applyBorder="1" applyAlignment="1">
      <alignment horizontal="right" vertical="center" wrapText="1"/>
    </xf>
    <xf numFmtId="0" fontId="1" fillId="6" borderId="18" xfId="0" applyFont="1" applyFill="1" applyBorder="1" applyAlignment="1">
      <alignment horizontal="right" vertical="center" wrapText="1"/>
    </xf>
    <xf numFmtId="164" fontId="1" fillId="6" borderId="19" xfId="0" applyNumberFormat="1" applyFont="1" applyFill="1" applyBorder="1" applyAlignment="1">
      <alignment horizontal="right" vertical="center" wrapText="1"/>
    </xf>
    <xf numFmtId="0" fontId="0" fillId="6" borderId="18" xfId="0" applyFill="1" applyBorder="1" applyAlignment="1">
      <alignment horizontal="left" vertical="center" wrapText="1"/>
    </xf>
    <xf numFmtId="164" fontId="0" fillId="6" borderId="18" xfId="0" applyNumberFormat="1" applyFill="1" applyBorder="1" applyAlignment="1">
      <alignment horizontal="right" vertical="center" wrapText="1"/>
    </xf>
    <xf numFmtId="0" fontId="0" fillId="6" borderId="18" xfId="0" applyFill="1" applyBorder="1" applyAlignment="1">
      <alignment horizontal="right" vertical="center" wrapText="1"/>
    </xf>
    <xf numFmtId="164" fontId="0" fillId="6" borderId="19" xfId="0" applyNumberFormat="1" applyFill="1" applyBorder="1" applyAlignment="1">
      <alignment horizontal="right" vertical="center" wrapText="1"/>
    </xf>
    <xf numFmtId="0" fontId="0" fillId="6" borderId="18" xfId="0" applyFill="1" applyBorder="1"/>
    <xf numFmtId="164" fontId="0" fillId="6" borderId="18" xfId="0" applyNumberFormat="1" applyFill="1" applyBorder="1"/>
    <xf numFmtId="164" fontId="0" fillId="6" borderId="19" xfId="0" applyNumberFormat="1" applyFill="1" applyBorder="1"/>
    <xf numFmtId="0" fontId="0" fillId="6" borderId="20" xfId="0" applyFill="1" applyBorder="1"/>
    <xf numFmtId="164" fontId="0" fillId="6" borderId="20" xfId="0" applyNumberFormat="1" applyFill="1" applyBorder="1"/>
    <xf numFmtId="164" fontId="0" fillId="6" borderId="21" xfId="0" applyNumberFormat="1" applyFill="1" applyBorder="1"/>
    <xf numFmtId="0" fontId="11" fillId="0" borderId="38" xfId="0" applyFont="1" applyBorder="1" applyAlignment="1">
      <alignment horizontal="left" vertical="center" wrapText="1" readingOrder="1"/>
    </xf>
    <xf numFmtId="0" fontId="11" fillId="0" borderId="39" xfId="0" applyFont="1" applyBorder="1" applyAlignment="1">
      <alignment horizontal="left" vertical="center" wrapText="1" readingOrder="1"/>
    </xf>
    <xf numFmtId="0" fontId="11" fillId="0" borderId="40" xfId="0" applyFont="1" applyBorder="1" applyAlignment="1">
      <alignment horizontal="left" vertical="center" wrapText="1" readingOrder="1"/>
    </xf>
    <xf numFmtId="0" fontId="11" fillId="0" borderId="40" xfId="0" applyFont="1" applyBorder="1" applyAlignment="1">
      <alignment horizontal="left" wrapText="1" readingOrder="1"/>
    </xf>
    <xf numFmtId="0" fontId="8" fillId="0" borderId="41" xfId="0" applyFont="1" applyBorder="1" applyAlignment="1">
      <alignment wrapText="1"/>
    </xf>
    <xf numFmtId="0" fontId="11" fillId="0" borderId="23" xfId="0" applyFont="1" applyBorder="1" applyAlignment="1">
      <alignment horizontal="center" vertical="center" wrapText="1" readingOrder="1"/>
    </xf>
    <xf numFmtId="0" fontId="9" fillId="0" borderId="23" xfId="0" applyFont="1" applyBorder="1" applyAlignment="1">
      <alignment horizontal="center" vertical="center" wrapText="1" readingOrder="1"/>
    </xf>
    <xf numFmtId="0" fontId="9" fillId="9" borderId="23" xfId="0" applyFont="1" applyFill="1" applyBorder="1" applyAlignment="1">
      <alignment horizontal="center" wrapText="1" readingOrder="1"/>
    </xf>
    <xf numFmtId="0" fontId="9" fillId="10" borderId="23" xfId="0" applyFont="1" applyFill="1" applyBorder="1" applyAlignment="1">
      <alignment horizontal="center" wrapText="1" readingOrder="1"/>
    </xf>
    <xf numFmtId="0" fontId="9" fillId="11" borderId="23" xfId="0" applyFont="1" applyFill="1" applyBorder="1" applyAlignment="1">
      <alignment horizontal="center" wrapText="1" readingOrder="1"/>
    </xf>
    <xf numFmtId="0" fontId="9" fillId="12" borderId="23" xfId="0" applyFont="1" applyFill="1" applyBorder="1" applyAlignment="1">
      <alignment horizontal="center" wrapText="1" readingOrder="1"/>
    </xf>
    <xf numFmtId="0" fontId="11" fillId="0" borderId="50" xfId="0" applyFont="1" applyBorder="1" applyAlignment="1">
      <alignment horizontal="left" vertical="center" wrapText="1" readingOrder="1"/>
    </xf>
    <xf numFmtId="0" fontId="11" fillId="0" borderId="51" xfId="0" applyFont="1" applyBorder="1" applyAlignment="1">
      <alignment horizontal="left" vertical="center" wrapText="1" readingOrder="1"/>
    </xf>
    <xf numFmtId="0" fontId="11" fillId="0" borderId="52" xfId="0" applyFont="1" applyBorder="1" applyAlignment="1">
      <alignment horizontal="left" vertical="center" wrapText="1" readingOrder="1"/>
    </xf>
    <xf numFmtId="0" fontId="11" fillId="0" borderId="52" xfId="0" applyFont="1" applyBorder="1" applyAlignment="1">
      <alignment horizontal="left" wrapText="1" readingOrder="1"/>
    </xf>
    <xf numFmtId="0" fontId="9" fillId="0" borderId="52" xfId="0" applyFont="1" applyBorder="1" applyAlignment="1">
      <alignment horizontal="center" wrapText="1" readingOrder="1"/>
    </xf>
    <xf numFmtId="0" fontId="12" fillId="8" borderId="30" xfId="0" applyFont="1" applyFill="1" applyBorder="1" applyAlignment="1">
      <alignment horizontal="center" vertical="center" wrapText="1" readingOrder="1"/>
    </xf>
    <xf numFmtId="0" fontId="12" fillId="8" borderId="37" xfId="0" applyFont="1" applyFill="1" applyBorder="1" applyAlignment="1">
      <alignment horizontal="center" vertical="center" wrapText="1" readingOrder="1"/>
    </xf>
    <xf numFmtId="0" fontId="13" fillId="0" borderId="41" xfId="0" applyFont="1" applyBorder="1" applyAlignment="1">
      <alignment wrapText="1"/>
    </xf>
    <xf numFmtId="0" fontId="14" fillId="0" borderId="42" xfId="0" applyFont="1" applyBorder="1" applyAlignment="1">
      <alignment horizontal="center" wrapText="1" readingOrder="1"/>
    </xf>
    <xf numFmtId="0" fontId="12" fillId="0" borderId="42" xfId="0" applyFont="1" applyBorder="1" applyAlignment="1">
      <alignment horizontal="center" wrapText="1" readingOrder="1"/>
    </xf>
    <xf numFmtId="0" fontId="14" fillId="0" borderId="43" xfId="0" applyFont="1" applyBorder="1" applyAlignment="1">
      <alignment horizontal="center" wrapText="1" readingOrder="1"/>
    </xf>
    <xf numFmtId="0" fontId="15" fillId="0" borderId="23" xfId="0" applyFont="1" applyBorder="1" applyAlignment="1">
      <alignment horizontal="center" wrapText="1" readingOrder="1"/>
    </xf>
    <xf numFmtId="0" fontId="15" fillId="0" borderId="49" xfId="0" applyFont="1" applyBorder="1" applyAlignment="1">
      <alignment horizontal="center" wrapText="1" readingOrder="1"/>
    </xf>
    <xf numFmtId="0" fontId="15" fillId="11" borderId="23" xfId="0" applyFont="1" applyFill="1" applyBorder="1" applyAlignment="1">
      <alignment horizontal="center" wrapText="1" readingOrder="1"/>
    </xf>
    <xf numFmtId="0" fontId="15" fillId="0" borderId="23" xfId="0" applyFont="1" applyBorder="1" applyAlignment="1">
      <alignment horizontal="center" vertical="center" wrapText="1" readingOrder="1"/>
    </xf>
    <xf numFmtId="15" fontId="15" fillId="0" borderId="23" xfId="0" applyNumberFormat="1" applyFont="1" applyBorder="1" applyAlignment="1">
      <alignment horizontal="center" vertical="center" wrapText="1" readingOrder="1"/>
    </xf>
    <xf numFmtId="0" fontId="15" fillId="9" borderId="23" xfId="0" applyFont="1" applyFill="1" applyBorder="1" applyAlignment="1">
      <alignment horizontal="center" wrapText="1" readingOrder="1"/>
    </xf>
    <xf numFmtId="0" fontId="15" fillId="10" borderId="23" xfId="0" applyFont="1" applyFill="1" applyBorder="1" applyAlignment="1">
      <alignment horizontal="center" wrapText="1" readingOrder="1"/>
    </xf>
    <xf numFmtId="0" fontId="15" fillId="13" borderId="23" xfId="0" applyFont="1" applyFill="1" applyBorder="1" applyAlignment="1">
      <alignment horizontal="center" wrapText="1" readingOrder="1"/>
    </xf>
    <xf numFmtId="0" fontId="15" fillId="12" borderId="23" xfId="0" applyFont="1" applyFill="1" applyBorder="1" applyAlignment="1">
      <alignment horizontal="center" wrapText="1" readingOrder="1"/>
    </xf>
    <xf numFmtId="0" fontId="16" fillId="0" borderId="0" xfId="0" applyFont="1"/>
    <xf numFmtId="0" fontId="15" fillId="0" borderId="52" xfId="0" applyFont="1" applyBorder="1" applyAlignment="1">
      <alignment horizontal="center" wrapText="1" readingOrder="1"/>
    </xf>
    <xf numFmtId="0" fontId="15" fillId="0" borderId="53" xfId="0" applyFont="1" applyBorder="1" applyAlignment="1">
      <alignment horizontal="center" wrapText="1" readingOrder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10" fillId="8" borderId="26" xfId="0" applyFont="1" applyFill="1" applyBorder="1" applyAlignment="1">
      <alignment horizontal="center" vertical="center" wrapText="1" readingOrder="1"/>
    </xf>
    <xf numFmtId="0" fontId="10" fillId="8" borderId="27" xfId="0" applyFont="1" applyFill="1" applyBorder="1" applyAlignment="1">
      <alignment horizontal="center" vertical="center" wrapText="1" readingOrder="1"/>
    </xf>
    <xf numFmtId="0" fontId="12" fillId="8" borderId="26" xfId="0" applyFont="1" applyFill="1" applyBorder="1" applyAlignment="1">
      <alignment horizontal="center" vertical="center" wrapText="1" readingOrder="1"/>
    </xf>
    <xf numFmtId="0" fontId="12" fillId="8" borderId="27" xfId="0" applyFont="1" applyFill="1" applyBorder="1" applyAlignment="1">
      <alignment horizontal="center" vertical="center" wrapText="1" readingOrder="1"/>
    </xf>
    <xf numFmtId="0" fontId="12" fillId="8" borderId="31" xfId="0" applyFont="1" applyFill="1" applyBorder="1" applyAlignment="1">
      <alignment horizontal="center" vertical="center" wrapText="1" readingOrder="1"/>
    </xf>
    <xf numFmtId="0" fontId="12" fillId="8" borderId="32" xfId="0" applyFont="1" applyFill="1" applyBorder="1" applyAlignment="1">
      <alignment horizontal="center" vertical="center" wrapText="1" readingOrder="1"/>
    </xf>
    <xf numFmtId="0" fontId="12" fillId="8" borderId="33" xfId="0" applyFont="1" applyFill="1" applyBorder="1" applyAlignment="1">
      <alignment horizontal="center" vertical="center" wrapText="1" readingOrder="1"/>
    </xf>
    <xf numFmtId="0" fontId="12" fillId="8" borderId="34" xfId="0" applyFont="1" applyFill="1" applyBorder="1" applyAlignment="1">
      <alignment horizontal="center" vertical="center" wrapText="1" readingOrder="1"/>
    </xf>
    <xf numFmtId="0" fontId="12" fillId="8" borderId="35" xfId="0" applyFont="1" applyFill="1" applyBorder="1" applyAlignment="1">
      <alignment horizontal="center" vertical="center" wrapText="1" readingOrder="1"/>
    </xf>
    <xf numFmtId="0" fontId="12" fillId="8" borderId="36" xfId="0" applyFont="1" applyFill="1" applyBorder="1" applyAlignment="1">
      <alignment horizontal="center" vertical="center" wrapText="1" readingOrder="1"/>
    </xf>
    <xf numFmtId="16" fontId="12" fillId="8" borderId="34" xfId="0" applyNumberFormat="1" applyFont="1" applyFill="1" applyBorder="1" applyAlignment="1">
      <alignment horizontal="center" vertical="center" wrapText="1" readingOrder="1"/>
    </xf>
    <xf numFmtId="16" fontId="12" fillId="8" borderId="35" xfId="0" applyNumberFormat="1" applyFont="1" applyFill="1" applyBorder="1" applyAlignment="1">
      <alignment horizontal="center" vertical="center" wrapText="1" readingOrder="1"/>
    </xf>
    <xf numFmtId="16" fontId="12" fillId="8" borderId="36" xfId="0" applyNumberFormat="1" applyFont="1" applyFill="1" applyBorder="1" applyAlignment="1">
      <alignment horizontal="center" vertical="center" wrapText="1" readingOrder="1"/>
    </xf>
    <xf numFmtId="15" fontId="15" fillId="0" borderId="46" xfId="0" applyNumberFormat="1" applyFont="1" applyBorder="1" applyAlignment="1">
      <alignment horizontal="center" vertical="center" wrapText="1" readingOrder="1"/>
    </xf>
    <xf numFmtId="15" fontId="15" fillId="0" borderId="47" xfId="0" applyNumberFormat="1" applyFont="1" applyBorder="1" applyAlignment="1">
      <alignment horizontal="center" vertical="center" wrapText="1" readingOrder="1"/>
    </xf>
    <xf numFmtId="15" fontId="15" fillId="0" borderId="48" xfId="0" applyNumberFormat="1" applyFont="1" applyBorder="1" applyAlignment="1">
      <alignment horizontal="center" vertical="center" wrapText="1" readingOrder="1"/>
    </xf>
    <xf numFmtId="0" fontId="11" fillId="0" borderId="44" xfId="0" applyFont="1" applyBorder="1" applyAlignment="1">
      <alignment horizontal="center" vertical="center" wrapText="1" readingOrder="1"/>
    </xf>
    <xf numFmtId="0" fontId="11" fillId="0" borderId="45" xfId="0" applyFont="1" applyBorder="1" applyAlignment="1">
      <alignment horizontal="center" vertical="center" wrapText="1" readingOrder="1"/>
    </xf>
    <xf numFmtId="0" fontId="11" fillId="0" borderId="46" xfId="0" applyFont="1" applyBorder="1" applyAlignment="1">
      <alignment horizontal="center" vertical="center" wrapText="1" readingOrder="1"/>
    </xf>
    <xf numFmtId="0" fontId="11" fillId="0" borderId="47" xfId="0" applyFont="1" applyBorder="1" applyAlignment="1">
      <alignment horizontal="center" vertical="center" wrapText="1" readingOrder="1"/>
    </xf>
    <xf numFmtId="0" fontId="11" fillId="0" borderId="48" xfId="0" applyFont="1" applyBorder="1" applyAlignment="1">
      <alignment horizontal="center" vertical="center" wrapText="1" readingOrder="1"/>
    </xf>
    <xf numFmtId="15" fontId="9" fillId="0" borderId="46" xfId="0" applyNumberFormat="1" applyFont="1" applyBorder="1" applyAlignment="1">
      <alignment horizontal="center" vertical="center" wrapText="1" readingOrder="1"/>
    </xf>
    <xf numFmtId="15" fontId="9" fillId="0" borderId="47" xfId="0" applyNumberFormat="1" applyFont="1" applyBorder="1" applyAlignment="1">
      <alignment horizontal="center" vertical="center" wrapText="1" readingOrder="1"/>
    </xf>
    <xf numFmtId="15" fontId="9" fillId="0" borderId="48" xfId="0" applyNumberFormat="1" applyFont="1" applyBorder="1" applyAlignment="1">
      <alignment horizontal="center" vertical="center" wrapText="1" readingOrder="1"/>
    </xf>
    <xf numFmtId="165" fontId="15" fillId="0" borderId="46" xfId="0" applyNumberFormat="1" applyFont="1" applyBorder="1" applyAlignment="1">
      <alignment horizontal="center" vertical="center" wrapText="1" readingOrder="1"/>
    </xf>
    <xf numFmtId="165" fontId="15" fillId="0" borderId="47" xfId="0" applyNumberFormat="1" applyFont="1" applyBorder="1" applyAlignment="1">
      <alignment horizontal="center" vertical="center" wrapText="1" readingOrder="1"/>
    </xf>
    <xf numFmtId="165" fontId="15" fillId="0" borderId="48" xfId="0" applyNumberFormat="1" applyFont="1" applyBorder="1" applyAlignment="1">
      <alignment horizontal="center" vertical="center" wrapText="1" readingOrder="1"/>
    </xf>
    <xf numFmtId="0" fontId="12" fillId="8" borderId="29" xfId="0" applyFont="1" applyFill="1" applyBorder="1" applyAlignment="1">
      <alignment horizontal="center" vertical="center" wrapText="1" readingOrder="1"/>
    </xf>
    <xf numFmtId="0" fontId="12" fillId="8" borderId="30" xfId="0" applyFont="1" applyFill="1" applyBorder="1" applyAlignment="1">
      <alignment horizontal="center" vertical="center" wrapText="1" readingOrder="1"/>
    </xf>
    <xf numFmtId="0" fontId="10" fillId="8" borderId="24" xfId="0" applyFont="1" applyFill="1" applyBorder="1" applyAlignment="1">
      <alignment horizontal="center" vertical="center" wrapText="1" readingOrder="1"/>
    </xf>
    <xf numFmtId="0" fontId="10" fillId="8" borderId="25" xfId="0" applyFont="1" applyFill="1" applyBorder="1" applyAlignment="1">
      <alignment horizontal="center" vertical="center" wrapText="1" readingOrder="1"/>
    </xf>
    <xf numFmtId="0" fontId="10" fillId="8" borderId="28" xfId="0" applyFont="1" applyFill="1" applyBorder="1" applyAlignment="1">
      <alignment horizontal="center" vertical="center" wrapText="1" readingOrder="1"/>
    </xf>
    <xf numFmtId="1" fontId="4" fillId="3" borderId="0" xfId="0" applyNumberFormat="1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CF6D4"/>
      <color rgb="FFE9F2D8"/>
      <color rgb="FFCCFF99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apps.phr.pertamina.com/ccms/wurng/getRFIData_v2.asp?v_RFINo=0&amp;v_WRNo=WDP250000000044" TargetMode="External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133350</xdr:colOff>
      <xdr:row>1</xdr:row>
      <xdr:rowOff>133350</xdr:rowOff>
    </xdr:to>
    <xdr:pic>
      <xdr:nvPicPr>
        <xdr:cNvPr id="16" name="imgArea" descr="article">
          <a:extLst>
            <a:ext uri="{FF2B5EF4-FFF2-40B4-BE49-F238E27FC236}">
              <a16:creationId xmlns:a16="http://schemas.microsoft.com/office/drawing/2014/main" id="{0CC61908-B788-413F-BBB0-4D8D0BDB1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6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133350</xdr:colOff>
      <xdr:row>3</xdr:row>
      <xdr:rowOff>133350</xdr:rowOff>
    </xdr:to>
    <xdr:pic>
      <xdr:nvPicPr>
        <xdr:cNvPr id="17" name="imgWAP" descr="article">
          <a:extLst>
            <a:ext uri="{FF2B5EF4-FFF2-40B4-BE49-F238E27FC236}">
              <a16:creationId xmlns:a16="http://schemas.microsoft.com/office/drawing/2014/main" id="{F0214AFF-384E-4F57-9232-AF54F52CF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133350</xdr:colOff>
      <xdr:row>21</xdr:row>
      <xdr:rowOff>133350</xdr:rowOff>
    </xdr:to>
    <xdr:pic>
      <xdr:nvPicPr>
        <xdr:cNvPr id="18" name="imgStart" descr="article">
          <a:extLst>
            <a:ext uri="{FF2B5EF4-FFF2-40B4-BE49-F238E27FC236}">
              <a16:creationId xmlns:a16="http://schemas.microsoft.com/office/drawing/2014/main" id="{34CA7EB7-AD8F-40A9-8C86-4E66B86F9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31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133350</xdr:colOff>
      <xdr:row>21</xdr:row>
      <xdr:rowOff>133350</xdr:rowOff>
    </xdr:to>
    <xdr:pic>
      <xdr:nvPicPr>
        <xdr:cNvPr id="19" name="imgEnd" descr="article">
          <a:extLst>
            <a:ext uri="{FF2B5EF4-FFF2-40B4-BE49-F238E27FC236}">
              <a16:creationId xmlns:a16="http://schemas.microsoft.com/office/drawing/2014/main" id="{700D4583-D5D7-455B-9F0D-2F09685A4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831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133350</xdr:colOff>
      <xdr:row>23</xdr:row>
      <xdr:rowOff>133350</xdr:rowOff>
    </xdr:to>
    <xdr:pic>
      <xdr:nvPicPr>
        <xdr:cNvPr id="20" name="imgStartDate" descr="article">
          <a:extLst>
            <a:ext uri="{FF2B5EF4-FFF2-40B4-BE49-F238E27FC236}">
              <a16:creationId xmlns:a16="http://schemas.microsoft.com/office/drawing/2014/main" id="{CC303D30-4BDA-4D25-9E33-192C6B33F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14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133350</xdr:colOff>
      <xdr:row>26</xdr:row>
      <xdr:rowOff>133350</xdr:rowOff>
    </xdr:to>
    <xdr:pic>
      <xdr:nvPicPr>
        <xdr:cNvPr id="21" name="Picture 20" descr="https://apps.phr.pertamina.com/ccms/images/icon.gif">
          <a:hlinkClick xmlns:r="http://schemas.openxmlformats.org/officeDocument/2006/relationships" r:id="rId2" tooltip="Completion from last RCO"/>
          <a:extLst>
            <a:ext uri="{FF2B5EF4-FFF2-40B4-BE49-F238E27FC236}">
              <a16:creationId xmlns:a16="http://schemas.microsoft.com/office/drawing/2014/main" id="{B36C90BB-AE62-4859-9668-C3C5CF413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38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133350</xdr:colOff>
      <xdr:row>26</xdr:row>
      <xdr:rowOff>133350</xdr:rowOff>
    </xdr:to>
    <xdr:pic>
      <xdr:nvPicPr>
        <xdr:cNvPr id="22" name="Picture 21" descr="https://apps.phr.pertamina.com/ccms/images/icon.gif">
          <a:hlinkClick xmlns:r="http://schemas.openxmlformats.org/officeDocument/2006/relationships" r:id="rId2" tooltip="Completion from last RCO"/>
          <a:extLst>
            <a:ext uri="{FF2B5EF4-FFF2-40B4-BE49-F238E27FC236}">
              <a16:creationId xmlns:a16="http://schemas.microsoft.com/office/drawing/2014/main" id="{CF3AFAB7-676F-4D52-B4C1-6FBCE711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038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539559</xdr:colOff>
      <xdr:row>0</xdr:row>
      <xdr:rowOff>0</xdr:rowOff>
    </xdr:from>
    <xdr:to>
      <xdr:col>21</xdr:col>
      <xdr:colOff>211108</xdr:colOff>
      <xdr:row>33</xdr:row>
      <xdr:rowOff>24847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66B73D3-6A87-4DAF-8D1F-FDAF2CD02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95363" y="33131"/>
          <a:ext cx="8865245" cy="66509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596848</xdr:colOff>
      <xdr:row>0</xdr:row>
      <xdr:rowOff>0</xdr:rowOff>
    </xdr:from>
    <xdr:to>
      <xdr:col>39</xdr:col>
      <xdr:colOff>567848</xdr:colOff>
      <xdr:row>46</xdr:row>
      <xdr:rowOff>36401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0509D1-E8AC-44DE-B667-AAAB0F602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46467" y="0"/>
          <a:ext cx="18113857" cy="1052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020E-2786-471A-94F1-72692D598CFA}">
  <dimension ref="A1:F34"/>
  <sheetViews>
    <sheetView tabSelected="1" zoomScale="92" zoomScaleNormal="92" workbookViewId="0">
      <selection activeCell="F4" sqref="F4"/>
    </sheetView>
  </sheetViews>
  <sheetFormatPr defaultRowHeight="14.5" x14ac:dyDescent="0.35"/>
  <cols>
    <col min="1" max="1" width="8.453125" bestFit="1" customWidth="1"/>
    <col min="2" max="2" width="20.08984375" customWidth="1"/>
    <col min="3" max="3" width="7" bestFit="1" customWidth="1"/>
    <col min="4" max="4" width="20.81640625" customWidth="1"/>
    <col min="5" max="5" width="7.54296875" bestFit="1" customWidth="1"/>
    <col min="6" max="6" width="21.36328125" customWidth="1"/>
  </cols>
  <sheetData>
    <row r="1" spans="1:6" x14ac:dyDescent="0.35">
      <c r="A1" s="1" t="s">
        <v>90</v>
      </c>
      <c r="B1" s="2" t="s">
        <v>91</v>
      </c>
      <c r="C1" s="1" t="s">
        <v>0</v>
      </c>
      <c r="D1" s="12" t="s">
        <v>1</v>
      </c>
    </row>
    <row r="2" spans="1:6" x14ac:dyDescent="0.35">
      <c r="A2" s="1" t="s">
        <v>84</v>
      </c>
      <c r="B2" s="12" t="s">
        <v>92</v>
      </c>
      <c r="C2" s="12"/>
      <c r="D2" s="12"/>
    </row>
    <row r="4" spans="1:6" ht="27.65" customHeight="1" x14ac:dyDescent="0.35">
      <c r="A4" s="19" t="s">
        <v>88</v>
      </c>
      <c r="B4" s="19"/>
      <c r="C4" s="19"/>
      <c r="D4" s="19"/>
      <c r="E4" s="3" t="s">
        <v>2</v>
      </c>
      <c r="F4" s="131">
        <v>685250000000478</v>
      </c>
    </row>
    <row r="5" spans="1:6" x14ac:dyDescent="0.35">
      <c r="A5" s="6"/>
      <c r="B5" s="6"/>
      <c r="C5" s="6"/>
      <c r="D5" s="6"/>
      <c r="E5" s="3" t="s">
        <v>3</v>
      </c>
      <c r="F5" s="7" t="s">
        <v>145</v>
      </c>
    </row>
    <row r="6" spans="1:6" x14ac:dyDescent="0.35">
      <c r="A6" s="8" t="s">
        <v>4</v>
      </c>
      <c r="B6" s="8"/>
      <c r="C6" s="8"/>
      <c r="D6" s="8"/>
      <c r="E6" s="8" t="s">
        <v>5</v>
      </c>
      <c r="F6" s="8"/>
    </row>
    <row r="7" spans="1:6" ht="14.4" customHeight="1" x14ac:dyDescent="0.35">
      <c r="A7" s="12" t="s">
        <v>93</v>
      </c>
      <c r="B7" s="12"/>
      <c r="C7" s="12"/>
      <c r="D7" s="12"/>
      <c r="E7" s="9">
        <v>45805</v>
      </c>
      <c r="F7" s="9"/>
    </row>
    <row r="8" spans="1:6" x14ac:dyDescent="0.35">
      <c r="A8" s="8" t="s">
        <v>6</v>
      </c>
      <c r="B8" s="8" t="s">
        <v>7</v>
      </c>
      <c r="C8" s="8"/>
      <c r="D8" s="8"/>
      <c r="E8" s="8"/>
      <c r="F8" s="8" t="s">
        <v>8</v>
      </c>
    </row>
    <row r="9" spans="1:6" ht="19.5" x14ac:dyDescent="0.35">
      <c r="A9" s="7" t="s">
        <v>9</v>
      </c>
      <c r="B9" s="7" t="s">
        <v>94</v>
      </c>
      <c r="C9" s="7"/>
      <c r="D9" s="7"/>
      <c r="E9" s="7"/>
      <c r="F9" s="7" t="s">
        <v>10</v>
      </c>
    </row>
    <row r="10" spans="1:6" x14ac:dyDescent="0.35">
      <c r="A10" s="8" t="s">
        <v>11</v>
      </c>
      <c r="B10" s="8" t="s">
        <v>12</v>
      </c>
      <c r="C10" s="8"/>
      <c r="D10" s="8"/>
      <c r="E10" s="8"/>
      <c r="F10" s="8"/>
    </row>
    <row r="11" spans="1:6" ht="19.5" x14ac:dyDescent="0.35">
      <c r="A11" s="7" t="s">
        <v>95</v>
      </c>
      <c r="B11" s="7" t="s">
        <v>13</v>
      </c>
      <c r="C11" s="7"/>
      <c r="D11" s="7"/>
      <c r="E11" s="7"/>
      <c r="F11" s="7"/>
    </row>
    <row r="12" spans="1:6" x14ac:dyDescent="0.35">
      <c r="A12" s="8" t="s">
        <v>14</v>
      </c>
      <c r="B12" s="8"/>
      <c r="C12" s="8"/>
      <c r="D12" s="8"/>
      <c r="E12" s="8"/>
      <c r="F12" s="8"/>
    </row>
    <row r="13" spans="1:6" x14ac:dyDescent="0.35">
      <c r="A13" s="7" t="s">
        <v>96</v>
      </c>
      <c r="B13" s="7"/>
      <c r="C13" s="7"/>
      <c r="D13" s="7"/>
      <c r="E13" s="7"/>
      <c r="F13" s="7"/>
    </row>
    <row r="14" spans="1:6" ht="14.4" customHeight="1" x14ac:dyDescent="0.35">
      <c r="A14" s="8" t="s">
        <v>15</v>
      </c>
      <c r="B14" s="8"/>
      <c r="C14" s="8"/>
      <c r="D14" s="8"/>
      <c r="E14" s="8"/>
      <c r="F14" s="8"/>
    </row>
    <row r="15" spans="1:6" x14ac:dyDescent="0.35">
      <c r="A15" s="7" t="s">
        <v>97</v>
      </c>
      <c r="B15" s="7"/>
      <c r="C15" s="7"/>
      <c r="D15" s="7"/>
      <c r="E15" s="7"/>
      <c r="F15" s="7"/>
    </row>
    <row r="16" spans="1:6" x14ac:dyDescent="0.35">
      <c r="A16" s="8" t="s">
        <v>16</v>
      </c>
      <c r="B16" s="8"/>
      <c r="C16" s="8"/>
      <c r="D16" s="8"/>
      <c r="E16" s="8" t="s">
        <v>17</v>
      </c>
      <c r="F16" s="8"/>
    </row>
    <row r="17" spans="1:6" ht="14.4" customHeight="1" x14ac:dyDescent="0.35">
      <c r="A17" s="20" t="s">
        <v>98</v>
      </c>
      <c r="B17" s="20"/>
      <c r="C17" s="20"/>
      <c r="D17" s="20"/>
      <c r="E17" s="20"/>
      <c r="F17" s="20"/>
    </row>
    <row r="18" spans="1:6" ht="14.4" customHeight="1" x14ac:dyDescent="0.35">
      <c r="A18" s="8" t="s">
        <v>18</v>
      </c>
      <c r="B18" s="8"/>
      <c r="C18" s="8"/>
      <c r="D18" s="8"/>
      <c r="E18" s="8"/>
      <c r="F18" s="8"/>
    </row>
    <row r="19" spans="1:6" x14ac:dyDescent="0.35">
      <c r="A19" s="7" t="s">
        <v>80</v>
      </c>
      <c r="B19" s="7"/>
      <c r="C19" s="7"/>
      <c r="D19" s="7"/>
      <c r="E19" s="7"/>
      <c r="F19" s="7"/>
    </row>
    <row r="20" spans="1:6" x14ac:dyDescent="0.35">
      <c r="A20" s="8" t="s">
        <v>19</v>
      </c>
      <c r="B20" s="8" t="s">
        <v>20</v>
      </c>
      <c r="C20" s="8"/>
      <c r="D20" s="8"/>
      <c r="E20" s="8"/>
      <c r="F20" s="8"/>
    </row>
    <row r="21" spans="1:6" x14ac:dyDescent="0.35">
      <c r="A21" s="7" t="s">
        <v>21</v>
      </c>
      <c r="B21" s="7" t="s">
        <v>99</v>
      </c>
      <c r="C21" s="7"/>
      <c r="D21" s="7"/>
      <c r="E21" s="7"/>
      <c r="F21" s="7"/>
    </row>
    <row r="22" spans="1:6" ht="19.5" x14ac:dyDescent="0.35">
      <c r="A22" s="8" t="s">
        <v>85</v>
      </c>
      <c r="B22" s="8"/>
      <c r="C22" s="8"/>
      <c r="D22" s="8"/>
      <c r="E22" s="8"/>
      <c r="F22" s="8" t="s">
        <v>86</v>
      </c>
    </row>
    <row r="23" spans="1:6" x14ac:dyDescent="0.35">
      <c r="A23" s="7" t="s">
        <v>22</v>
      </c>
      <c r="B23" s="7"/>
      <c r="C23" s="7"/>
      <c r="D23" s="7"/>
      <c r="E23" s="7"/>
      <c r="F23" s="7" t="s">
        <v>23</v>
      </c>
    </row>
    <row r="24" spans="1:6" x14ac:dyDescent="0.35">
      <c r="A24" s="8" t="s">
        <v>87</v>
      </c>
      <c r="B24" s="8" t="s">
        <v>24</v>
      </c>
      <c r="C24" s="8"/>
      <c r="D24" s="8"/>
      <c r="E24" s="8" t="s">
        <v>25</v>
      </c>
      <c r="F24" s="8"/>
    </row>
    <row r="25" spans="1:6" x14ac:dyDescent="0.35">
      <c r="A25" s="9">
        <v>45818</v>
      </c>
      <c r="B25" s="9">
        <v>46001</v>
      </c>
      <c r="C25" s="9"/>
      <c r="D25" s="9"/>
      <c r="E25" s="7">
        <v>184</v>
      </c>
      <c r="F25" s="7"/>
    </row>
    <row r="26" spans="1:6" ht="14.4" customHeight="1" x14ac:dyDescent="0.35">
      <c r="A26" s="8" t="s">
        <v>26</v>
      </c>
      <c r="B26" s="8"/>
      <c r="C26" s="8"/>
      <c r="D26" s="8"/>
      <c r="E26" s="8"/>
      <c r="F26" s="8"/>
    </row>
    <row r="27" spans="1:6" ht="29" x14ac:dyDescent="0.35">
      <c r="A27" s="11" t="s">
        <v>81</v>
      </c>
      <c r="B27" s="11" t="s">
        <v>82</v>
      </c>
      <c r="C27" s="11"/>
      <c r="D27" s="11"/>
      <c r="E27" s="11"/>
      <c r="F27" s="7" t="s">
        <v>27</v>
      </c>
    </row>
    <row r="28" spans="1:6" ht="14.4" customHeight="1" x14ac:dyDescent="0.35">
      <c r="A28" s="8" t="s">
        <v>28</v>
      </c>
      <c r="B28" s="8"/>
      <c r="C28" s="8"/>
      <c r="D28" s="8"/>
      <c r="E28" s="8" t="s">
        <v>29</v>
      </c>
      <c r="F28" s="8"/>
    </row>
    <row r="29" spans="1:6" x14ac:dyDescent="0.35">
      <c r="A29" s="7" t="s">
        <v>83</v>
      </c>
      <c r="B29" s="7" t="s">
        <v>30</v>
      </c>
      <c r="C29" s="7"/>
      <c r="D29" s="7"/>
      <c r="E29" s="7" t="s">
        <v>31</v>
      </c>
      <c r="F29" s="7" t="s">
        <v>32</v>
      </c>
    </row>
    <row r="30" spans="1:6" x14ac:dyDescent="0.35">
      <c r="A30" s="13" t="s">
        <v>33</v>
      </c>
      <c r="B30" s="13"/>
      <c r="C30" s="13"/>
      <c r="D30" s="13"/>
      <c r="E30" s="13"/>
      <c r="F30" s="13"/>
    </row>
    <row r="31" spans="1:6" x14ac:dyDescent="0.35">
      <c r="A31" s="8" t="s">
        <v>34</v>
      </c>
      <c r="B31" s="8" t="s">
        <v>35</v>
      </c>
      <c r="C31" s="8"/>
      <c r="D31" s="8"/>
      <c r="E31" s="8"/>
      <c r="F31" s="8" t="s">
        <v>36</v>
      </c>
    </row>
    <row r="32" spans="1:6" x14ac:dyDescent="0.35">
      <c r="A32" s="7" t="s">
        <v>37</v>
      </c>
      <c r="B32" s="4" t="s">
        <v>38</v>
      </c>
      <c r="C32" s="4" t="s">
        <v>39</v>
      </c>
      <c r="D32" s="5">
        <v>2072114860</v>
      </c>
      <c r="E32" s="4"/>
      <c r="F32" s="10"/>
    </row>
    <row r="33" spans="1:6" x14ac:dyDescent="0.35">
      <c r="A33" s="8" t="s">
        <v>40</v>
      </c>
      <c r="B33" s="8"/>
      <c r="C33" s="8"/>
      <c r="D33" s="8"/>
      <c r="E33" s="8"/>
      <c r="F33" s="8"/>
    </row>
    <row r="34" spans="1:6" ht="14.4" customHeight="1" x14ac:dyDescent="0.35">
      <c r="A34" s="12" t="s">
        <v>100</v>
      </c>
      <c r="B34" s="12"/>
      <c r="C34" s="12"/>
      <c r="D34" s="12"/>
      <c r="E34" s="12"/>
      <c r="F34" s="1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0DE9-51ED-4D0E-AC70-B9E4668D7415}">
  <dimension ref="A1:I45"/>
  <sheetViews>
    <sheetView zoomScale="52" zoomScaleNormal="52" workbookViewId="0">
      <selection sqref="A1:XFD1"/>
    </sheetView>
  </sheetViews>
  <sheetFormatPr defaultRowHeight="14.5" x14ac:dyDescent="0.35"/>
  <cols>
    <col min="2" max="2" width="8.36328125" customWidth="1"/>
    <col min="3" max="3" width="49.453125" customWidth="1"/>
    <col min="5" max="5" width="19.36328125" style="14" customWidth="1"/>
    <col min="9" max="9" width="21.08984375" style="14" customWidth="1"/>
  </cols>
  <sheetData>
    <row r="1" spans="1:9" ht="14.4" customHeight="1" x14ac:dyDescent="0.35">
      <c r="A1" s="97" t="s">
        <v>41</v>
      </c>
      <c r="B1" s="98"/>
      <c r="C1" s="40"/>
      <c r="D1" s="40" t="s">
        <v>42</v>
      </c>
      <c r="E1" s="40" t="s">
        <v>43</v>
      </c>
      <c r="F1" s="40"/>
      <c r="G1" s="40" t="s">
        <v>44</v>
      </c>
      <c r="H1" s="40"/>
      <c r="I1" s="41" t="s">
        <v>45</v>
      </c>
    </row>
    <row r="2" spans="1:9" ht="15" thickBot="1" x14ac:dyDescent="0.4">
      <c r="A2" s="15"/>
      <c r="B2" s="16"/>
      <c r="C2" s="42"/>
      <c r="D2" s="42"/>
      <c r="E2" s="43" t="s">
        <v>46</v>
      </c>
      <c r="F2" s="42" t="s">
        <v>47</v>
      </c>
      <c r="G2" s="42" t="s">
        <v>46</v>
      </c>
      <c r="H2" s="42" t="s">
        <v>47</v>
      </c>
      <c r="I2" s="44"/>
    </row>
    <row r="3" spans="1:9" ht="8.4" customHeight="1" x14ac:dyDescent="0.35">
      <c r="A3" s="17"/>
      <c r="B3" s="18"/>
      <c r="C3" s="45"/>
      <c r="D3" s="45"/>
      <c r="E3" s="46"/>
      <c r="F3" s="45"/>
      <c r="G3" s="45"/>
      <c r="H3" s="47"/>
      <c r="I3" s="48"/>
    </row>
    <row r="4" spans="1:9" ht="14.4" customHeight="1" x14ac:dyDescent="0.35">
      <c r="A4" s="25" t="s">
        <v>48</v>
      </c>
      <c r="B4" s="26"/>
      <c r="C4" s="49"/>
      <c r="D4" s="49"/>
      <c r="E4" s="50"/>
      <c r="F4" s="51"/>
      <c r="G4" s="51"/>
      <c r="H4" s="51"/>
      <c r="I4" s="52">
        <v>0</v>
      </c>
    </row>
    <row r="5" spans="1:9" ht="14.4" customHeight="1" x14ac:dyDescent="0.35">
      <c r="A5" s="27"/>
      <c r="B5" s="28" t="s">
        <v>49</v>
      </c>
      <c r="C5" s="53"/>
      <c r="D5" s="53"/>
      <c r="E5" s="54"/>
      <c r="F5" s="55"/>
      <c r="G5" s="55"/>
      <c r="H5" s="55"/>
      <c r="I5" s="56">
        <v>0</v>
      </c>
    </row>
    <row r="6" spans="1:9" x14ac:dyDescent="0.35">
      <c r="A6" s="27" t="s">
        <v>50</v>
      </c>
      <c r="B6" s="29"/>
      <c r="C6" s="53" t="s">
        <v>101</v>
      </c>
      <c r="D6" s="53" t="s">
        <v>52</v>
      </c>
      <c r="E6" s="54">
        <v>144000</v>
      </c>
      <c r="F6" s="55">
        <v>360</v>
      </c>
      <c r="G6" s="55"/>
      <c r="H6" s="55"/>
      <c r="I6" s="56">
        <v>51840000</v>
      </c>
    </row>
    <row r="7" spans="1:9" x14ac:dyDescent="0.35">
      <c r="A7" s="27" t="s">
        <v>50</v>
      </c>
      <c r="B7" s="29"/>
      <c r="C7" s="53" t="s">
        <v>51</v>
      </c>
      <c r="D7" s="53" t="s">
        <v>52</v>
      </c>
      <c r="E7" s="54">
        <v>145000</v>
      </c>
      <c r="F7" s="55">
        <v>700</v>
      </c>
      <c r="G7" s="55"/>
      <c r="H7" s="55"/>
      <c r="I7" s="56">
        <v>101500000</v>
      </c>
    </row>
    <row r="8" spans="1:9" ht="14.4" customHeight="1" x14ac:dyDescent="0.35">
      <c r="A8" s="30" t="s">
        <v>50</v>
      </c>
      <c r="B8" s="26"/>
      <c r="C8" s="53" t="s">
        <v>53</v>
      </c>
      <c r="D8" s="53" t="s">
        <v>52</v>
      </c>
      <c r="E8" s="54">
        <v>1495000</v>
      </c>
      <c r="F8" s="55">
        <v>24</v>
      </c>
      <c r="G8" s="55"/>
      <c r="H8" s="55"/>
      <c r="I8" s="56">
        <v>35880000</v>
      </c>
    </row>
    <row r="9" spans="1:9" ht="14.4" customHeight="1" x14ac:dyDescent="0.35">
      <c r="A9" s="31" t="s">
        <v>54</v>
      </c>
      <c r="B9" s="28"/>
      <c r="C9" s="53"/>
      <c r="D9" s="53"/>
      <c r="E9" s="54"/>
      <c r="F9" s="55"/>
      <c r="G9" s="55"/>
      <c r="H9" s="55"/>
      <c r="I9" s="56">
        <v>0</v>
      </c>
    </row>
    <row r="10" spans="1:9" x14ac:dyDescent="0.35">
      <c r="A10" s="32"/>
      <c r="B10" s="33" t="s">
        <v>55</v>
      </c>
      <c r="C10" s="53"/>
      <c r="D10" s="53"/>
      <c r="E10" s="54"/>
      <c r="F10" s="55"/>
      <c r="G10" s="55"/>
      <c r="H10" s="55"/>
      <c r="I10" s="56">
        <v>0</v>
      </c>
    </row>
    <row r="11" spans="1:9" ht="43.5" x14ac:dyDescent="0.35">
      <c r="A11" s="27" t="s">
        <v>50</v>
      </c>
      <c r="B11" s="29"/>
      <c r="C11" s="53" t="s">
        <v>102</v>
      </c>
      <c r="D11" s="53" t="s">
        <v>57</v>
      </c>
      <c r="E11" s="54">
        <v>45000</v>
      </c>
      <c r="F11" s="55">
        <v>10000</v>
      </c>
      <c r="G11" s="55"/>
      <c r="H11" s="55"/>
      <c r="I11" s="56">
        <v>450000000</v>
      </c>
    </row>
    <row r="12" spans="1:9" ht="43.5" x14ac:dyDescent="0.35">
      <c r="A12" s="27" t="s">
        <v>50</v>
      </c>
      <c r="B12" s="29"/>
      <c r="C12" s="53" t="s">
        <v>56</v>
      </c>
      <c r="D12" s="53" t="s">
        <v>57</v>
      </c>
      <c r="E12" s="54">
        <v>110000</v>
      </c>
      <c r="F12" s="55">
        <v>5000</v>
      </c>
      <c r="G12" s="55"/>
      <c r="H12" s="55"/>
      <c r="I12" s="56">
        <v>550000000</v>
      </c>
    </row>
    <row r="13" spans="1:9" ht="29" x14ac:dyDescent="0.35">
      <c r="A13" s="27" t="s">
        <v>50</v>
      </c>
      <c r="B13" s="29"/>
      <c r="C13" s="53" t="s">
        <v>103</v>
      </c>
      <c r="D13" s="53" t="s">
        <v>57</v>
      </c>
      <c r="E13" s="54">
        <v>35000</v>
      </c>
      <c r="F13" s="55">
        <v>2500</v>
      </c>
      <c r="G13" s="55"/>
      <c r="H13" s="55"/>
      <c r="I13" s="56">
        <v>87500000</v>
      </c>
    </row>
    <row r="14" spans="1:9" ht="29" x14ac:dyDescent="0.35">
      <c r="A14" s="27" t="s">
        <v>50</v>
      </c>
      <c r="B14" s="29"/>
      <c r="C14" s="53" t="s">
        <v>58</v>
      </c>
      <c r="D14" s="53" t="s">
        <v>59</v>
      </c>
      <c r="E14" s="54">
        <v>8000</v>
      </c>
      <c r="F14" s="55">
        <v>10000</v>
      </c>
      <c r="G14" s="55"/>
      <c r="H14" s="55"/>
      <c r="I14" s="56">
        <v>80000000</v>
      </c>
    </row>
    <row r="15" spans="1:9" ht="29" x14ac:dyDescent="0.35">
      <c r="A15" s="27" t="s">
        <v>50</v>
      </c>
      <c r="B15" s="29"/>
      <c r="C15" s="53" t="s">
        <v>60</v>
      </c>
      <c r="D15" s="53" t="s">
        <v>57</v>
      </c>
      <c r="E15" s="54">
        <v>34000</v>
      </c>
      <c r="F15" s="55">
        <v>1500</v>
      </c>
      <c r="G15" s="55"/>
      <c r="H15" s="55"/>
      <c r="I15" s="56">
        <v>51000000</v>
      </c>
    </row>
    <row r="16" spans="1:9" ht="29" x14ac:dyDescent="0.35">
      <c r="A16" s="27" t="s">
        <v>50</v>
      </c>
      <c r="B16" s="29"/>
      <c r="C16" s="53" t="s">
        <v>61</v>
      </c>
      <c r="D16" s="53" t="s">
        <v>57</v>
      </c>
      <c r="E16" s="54">
        <v>30000</v>
      </c>
      <c r="F16" s="55">
        <v>1500</v>
      </c>
      <c r="G16" s="55"/>
      <c r="H16" s="55"/>
      <c r="I16" s="56">
        <v>45000000</v>
      </c>
    </row>
    <row r="17" spans="1:9" ht="29" x14ac:dyDescent="0.35">
      <c r="A17" s="27" t="s">
        <v>50</v>
      </c>
      <c r="B17" s="29"/>
      <c r="C17" s="53" t="s">
        <v>62</v>
      </c>
      <c r="D17" s="53" t="s">
        <v>59</v>
      </c>
      <c r="E17" s="54">
        <v>7990</v>
      </c>
      <c r="F17" s="55">
        <v>10000</v>
      </c>
      <c r="G17" s="55"/>
      <c r="H17" s="55"/>
      <c r="I17" s="56">
        <v>79900000</v>
      </c>
    </row>
    <row r="18" spans="1:9" ht="14.4" customHeight="1" x14ac:dyDescent="0.35">
      <c r="A18" s="27" t="s">
        <v>50</v>
      </c>
      <c r="B18" s="28"/>
      <c r="C18" s="53" t="s">
        <v>104</v>
      </c>
      <c r="D18" s="53" t="s">
        <v>57</v>
      </c>
      <c r="E18" s="54">
        <v>50000</v>
      </c>
      <c r="F18" s="55">
        <v>5000</v>
      </c>
      <c r="G18" s="55"/>
      <c r="H18" s="55"/>
      <c r="I18" s="56">
        <v>250000000</v>
      </c>
    </row>
    <row r="19" spans="1:9" ht="29" x14ac:dyDescent="0.35">
      <c r="A19" s="27" t="s">
        <v>50</v>
      </c>
      <c r="B19" s="29"/>
      <c r="C19" s="53" t="s">
        <v>89</v>
      </c>
      <c r="D19" s="53" t="s">
        <v>57</v>
      </c>
      <c r="E19" s="54">
        <v>60000</v>
      </c>
      <c r="F19" s="55">
        <v>1000</v>
      </c>
      <c r="G19" s="55"/>
      <c r="H19" s="55"/>
      <c r="I19" s="56">
        <v>60000000</v>
      </c>
    </row>
    <row r="20" spans="1:9" ht="28.75" customHeight="1" x14ac:dyDescent="0.35">
      <c r="A20" s="27"/>
      <c r="B20" s="28" t="s">
        <v>63</v>
      </c>
      <c r="C20" s="53"/>
      <c r="D20" s="53"/>
      <c r="E20" s="54"/>
      <c r="F20" s="55"/>
      <c r="G20" s="55"/>
      <c r="H20" s="55"/>
      <c r="I20" s="56">
        <v>0</v>
      </c>
    </row>
    <row r="21" spans="1:9" x14ac:dyDescent="0.35">
      <c r="A21" s="27" t="s">
        <v>50</v>
      </c>
      <c r="B21" s="29"/>
      <c r="C21" s="53" t="s">
        <v>105</v>
      </c>
      <c r="D21" s="53" t="s">
        <v>106</v>
      </c>
      <c r="E21" s="54">
        <v>22000</v>
      </c>
      <c r="F21" s="55">
        <v>1000</v>
      </c>
      <c r="G21" s="55"/>
      <c r="H21" s="55"/>
      <c r="I21" s="56">
        <v>22000000</v>
      </c>
    </row>
    <row r="22" spans="1:9" x14ac:dyDescent="0.35">
      <c r="A22" s="27" t="s">
        <v>50</v>
      </c>
      <c r="B22" s="29"/>
      <c r="C22" s="53" t="s">
        <v>64</v>
      </c>
      <c r="D22" s="53" t="s">
        <v>65</v>
      </c>
      <c r="E22" s="54">
        <v>9999960</v>
      </c>
      <c r="F22" s="55">
        <v>1</v>
      </c>
      <c r="G22" s="55"/>
      <c r="H22" s="55"/>
      <c r="I22" s="56">
        <v>9999960</v>
      </c>
    </row>
    <row r="23" spans="1:9" x14ac:dyDescent="0.35">
      <c r="A23" s="27" t="s">
        <v>50</v>
      </c>
      <c r="B23" s="29"/>
      <c r="C23" s="53" t="s">
        <v>66</v>
      </c>
      <c r="D23" s="53" t="s">
        <v>65</v>
      </c>
      <c r="E23" s="54">
        <v>3999900</v>
      </c>
      <c r="F23" s="55">
        <v>1</v>
      </c>
      <c r="G23" s="55"/>
      <c r="H23" s="55"/>
      <c r="I23" s="56">
        <v>3999900</v>
      </c>
    </row>
    <row r="24" spans="1:9" x14ac:dyDescent="0.35">
      <c r="A24" s="32"/>
      <c r="B24" s="33" t="s">
        <v>67</v>
      </c>
      <c r="C24" s="53"/>
      <c r="D24" s="53"/>
      <c r="E24" s="54"/>
      <c r="F24" s="55"/>
      <c r="G24" s="55"/>
      <c r="H24" s="55"/>
      <c r="I24" s="56">
        <v>0</v>
      </c>
    </row>
    <row r="25" spans="1:9" ht="29" x14ac:dyDescent="0.35">
      <c r="A25" s="27" t="s">
        <v>50</v>
      </c>
      <c r="B25" s="29"/>
      <c r="C25" s="53" t="s">
        <v>68</v>
      </c>
      <c r="D25" s="53" t="s">
        <v>59</v>
      </c>
      <c r="E25" s="54">
        <v>50000</v>
      </c>
      <c r="F25" s="55">
        <v>1500</v>
      </c>
      <c r="G25" s="55"/>
      <c r="H25" s="55"/>
      <c r="I25" s="56">
        <v>75000000</v>
      </c>
    </row>
    <row r="26" spans="1:9" ht="28.75" customHeight="1" x14ac:dyDescent="0.35">
      <c r="A26" s="27" t="s">
        <v>50</v>
      </c>
      <c r="B26" s="28"/>
      <c r="C26" s="53" t="s">
        <v>69</v>
      </c>
      <c r="D26" s="53" t="s">
        <v>65</v>
      </c>
      <c r="E26" s="54">
        <v>12500000</v>
      </c>
      <c r="F26" s="55">
        <v>1</v>
      </c>
      <c r="G26" s="55"/>
      <c r="H26" s="55"/>
      <c r="I26" s="56">
        <v>12500000</v>
      </c>
    </row>
    <row r="27" spans="1:9" x14ac:dyDescent="0.35">
      <c r="A27" s="27" t="s">
        <v>50</v>
      </c>
      <c r="B27" s="29"/>
      <c r="C27" s="53" t="s">
        <v>70</v>
      </c>
      <c r="D27" s="53" t="s">
        <v>65</v>
      </c>
      <c r="E27" s="54">
        <v>5000000</v>
      </c>
      <c r="F27" s="55">
        <v>1</v>
      </c>
      <c r="G27" s="55"/>
      <c r="H27" s="55"/>
      <c r="I27" s="56">
        <v>5000000</v>
      </c>
    </row>
    <row r="28" spans="1:9" x14ac:dyDescent="0.35">
      <c r="A28" s="32"/>
      <c r="B28" s="33" t="s">
        <v>107</v>
      </c>
      <c r="C28" s="53"/>
      <c r="D28" s="53"/>
      <c r="E28" s="54"/>
      <c r="F28" s="55"/>
      <c r="G28" s="55"/>
      <c r="H28" s="55"/>
      <c r="I28" s="56">
        <v>0</v>
      </c>
    </row>
    <row r="29" spans="1:9" x14ac:dyDescent="0.35">
      <c r="A29" s="27" t="s">
        <v>50</v>
      </c>
      <c r="B29" s="29"/>
      <c r="C29" s="53" t="s">
        <v>108</v>
      </c>
      <c r="D29" s="53" t="s">
        <v>106</v>
      </c>
      <c r="E29" s="54">
        <v>10000</v>
      </c>
      <c r="F29" s="55">
        <v>500</v>
      </c>
      <c r="G29" s="55"/>
      <c r="H29" s="55"/>
      <c r="I29" s="56">
        <v>5000000</v>
      </c>
    </row>
    <row r="30" spans="1:9" ht="29" x14ac:dyDescent="0.35">
      <c r="A30" s="27" t="s">
        <v>50</v>
      </c>
      <c r="B30" s="29"/>
      <c r="C30" s="53" t="s">
        <v>109</v>
      </c>
      <c r="D30" s="53" t="s">
        <v>57</v>
      </c>
      <c r="E30" s="54">
        <v>1000000</v>
      </c>
      <c r="F30" s="55">
        <v>50</v>
      </c>
      <c r="G30" s="55"/>
      <c r="H30" s="55"/>
      <c r="I30" s="56">
        <v>50000000</v>
      </c>
    </row>
    <row r="31" spans="1:9" ht="14.4" customHeight="1" x14ac:dyDescent="0.35">
      <c r="A31" s="30" t="s">
        <v>71</v>
      </c>
      <c r="B31" s="26"/>
      <c r="C31" s="49"/>
      <c r="D31" s="49"/>
      <c r="E31" s="50"/>
      <c r="F31" s="51"/>
      <c r="G31" s="51"/>
      <c r="H31" s="51"/>
      <c r="I31" s="52">
        <v>0</v>
      </c>
    </row>
    <row r="32" spans="1:9" ht="14.4" customHeight="1" x14ac:dyDescent="0.35">
      <c r="A32" s="27"/>
      <c r="B32" s="28" t="s">
        <v>72</v>
      </c>
      <c r="C32" s="53"/>
      <c r="D32" s="53"/>
      <c r="E32" s="54"/>
      <c r="F32" s="55"/>
      <c r="G32" s="55"/>
      <c r="H32" s="55"/>
      <c r="I32" s="56">
        <v>0</v>
      </c>
    </row>
    <row r="33" spans="1:9" ht="29" x14ac:dyDescent="0.35">
      <c r="A33" s="27" t="s">
        <v>50</v>
      </c>
      <c r="B33" s="29"/>
      <c r="C33" s="53" t="s">
        <v>73</v>
      </c>
      <c r="D33" s="53" t="s">
        <v>74</v>
      </c>
      <c r="E33" s="54">
        <v>6000000</v>
      </c>
      <c r="F33" s="55">
        <v>1</v>
      </c>
      <c r="G33" s="55"/>
      <c r="H33" s="55"/>
      <c r="I33" s="56">
        <v>6000000</v>
      </c>
    </row>
    <row r="34" spans="1:9" x14ac:dyDescent="0.35">
      <c r="A34" s="34" t="s">
        <v>75</v>
      </c>
      <c r="B34" s="35"/>
      <c r="C34" s="57"/>
      <c r="D34" s="57"/>
      <c r="E34" s="58"/>
      <c r="F34" s="57"/>
      <c r="G34" s="57"/>
      <c r="H34" s="57"/>
      <c r="I34" s="59">
        <v>0</v>
      </c>
    </row>
    <row r="35" spans="1:9" x14ac:dyDescent="0.35">
      <c r="A35" s="36"/>
      <c r="B35" s="37" t="s">
        <v>76</v>
      </c>
      <c r="C35" s="57"/>
      <c r="D35" s="57"/>
      <c r="E35" s="58"/>
      <c r="F35" s="57"/>
      <c r="G35" s="57"/>
      <c r="H35" s="57"/>
      <c r="I35" s="59">
        <v>0</v>
      </c>
    </row>
    <row r="36" spans="1:9" x14ac:dyDescent="0.35">
      <c r="A36" s="36" t="s">
        <v>50</v>
      </c>
      <c r="B36" s="35"/>
      <c r="C36" s="57" t="s">
        <v>77</v>
      </c>
      <c r="D36" s="57" t="s">
        <v>78</v>
      </c>
      <c r="E36" s="58">
        <v>16999000</v>
      </c>
      <c r="F36" s="57">
        <v>1</v>
      </c>
      <c r="G36" s="57"/>
      <c r="H36" s="57"/>
      <c r="I36" s="59">
        <v>16999000</v>
      </c>
    </row>
    <row r="37" spans="1:9" x14ac:dyDescent="0.35">
      <c r="A37" s="36"/>
      <c r="B37" s="37" t="s">
        <v>110</v>
      </c>
      <c r="C37" s="57"/>
      <c r="D37" s="57"/>
      <c r="E37" s="58"/>
      <c r="F37" s="57"/>
      <c r="G37" s="57"/>
      <c r="H37" s="57"/>
      <c r="I37" s="59">
        <v>0</v>
      </c>
    </row>
    <row r="38" spans="1:9" x14ac:dyDescent="0.35">
      <c r="A38" s="36" t="s">
        <v>50</v>
      </c>
      <c r="B38" s="35"/>
      <c r="C38" s="57" t="s">
        <v>111</v>
      </c>
      <c r="D38" s="57" t="s">
        <v>78</v>
      </c>
      <c r="E38" s="58">
        <v>4999000</v>
      </c>
      <c r="F38" s="57">
        <v>1</v>
      </c>
      <c r="G38" s="57"/>
      <c r="H38" s="57"/>
      <c r="I38" s="59">
        <v>4999000</v>
      </c>
    </row>
    <row r="39" spans="1:9" x14ac:dyDescent="0.35">
      <c r="A39" s="36" t="s">
        <v>50</v>
      </c>
      <c r="B39" s="35"/>
      <c r="C39" s="57" t="s">
        <v>112</v>
      </c>
      <c r="D39" s="57" t="s">
        <v>78</v>
      </c>
      <c r="E39" s="58">
        <v>1000000</v>
      </c>
      <c r="F39" s="57">
        <v>1</v>
      </c>
      <c r="G39" s="57"/>
      <c r="H39" s="57"/>
      <c r="I39" s="59">
        <v>1000000</v>
      </c>
    </row>
    <row r="40" spans="1:9" x14ac:dyDescent="0.35">
      <c r="A40" s="36" t="s">
        <v>50</v>
      </c>
      <c r="B40" s="35"/>
      <c r="C40" s="57" t="s">
        <v>113</v>
      </c>
      <c r="D40" s="57" t="s">
        <v>78</v>
      </c>
      <c r="E40" s="58">
        <v>6999000</v>
      </c>
      <c r="F40" s="57">
        <v>1</v>
      </c>
      <c r="G40" s="57"/>
      <c r="H40" s="57"/>
      <c r="I40" s="59">
        <v>6999000</v>
      </c>
    </row>
    <row r="41" spans="1:9" x14ac:dyDescent="0.35">
      <c r="A41" s="36" t="s">
        <v>50</v>
      </c>
      <c r="B41" s="35"/>
      <c r="C41" s="57" t="s">
        <v>114</v>
      </c>
      <c r="D41" s="57" t="s">
        <v>78</v>
      </c>
      <c r="E41" s="58">
        <v>1000000</v>
      </c>
      <c r="F41" s="57">
        <v>1</v>
      </c>
      <c r="G41" s="57"/>
      <c r="H41" s="57"/>
      <c r="I41" s="59">
        <v>1000000</v>
      </c>
    </row>
    <row r="42" spans="1:9" x14ac:dyDescent="0.35">
      <c r="A42" s="36" t="s">
        <v>50</v>
      </c>
      <c r="B42" s="35"/>
      <c r="C42" s="57" t="s">
        <v>115</v>
      </c>
      <c r="D42" s="57" t="s">
        <v>78</v>
      </c>
      <c r="E42" s="58">
        <v>3999000</v>
      </c>
      <c r="F42" s="57">
        <v>1</v>
      </c>
      <c r="G42" s="57"/>
      <c r="H42" s="57"/>
      <c r="I42" s="59">
        <v>3999000</v>
      </c>
    </row>
    <row r="43" spans="1:9" x14ac:dyDescent="0.35">
      <c r="A43" s="36" t="s">
        <v>50</v>
      </c>
      <c r="B43" s="35"/>
      <c r="C43" s="57" t="s">
        <v>116</v>
      </c>
      <c r="D43" s="57" t="s">
        <v>78</v>
      </c>
      <c r="E43" s="58">
        <v>4999000</v>
      </c>
      <c r="F43" s="57">
        <v>1</v>
      </c>
      <c r="G43" s="57"/>
      <c r="H43" s="57"/>
      <c r="I43" s="59">
        <v>4999000</v>
      </c>
    </row>
    <row r="44" spans="1:9" ht="15" thickBot="1" x14ac:dyDescent="0.4">
      <c r="A44" s="38"/>
      <c r="B44" s="39"/>
      <c r="C44" s="60"/>
      <c r="D44" s="60"/>
      <c r="E44" s="61"/>
      <c r="F44" s="60"/>
      <c r="G44" s="60"/>
      <c r="H44" s="60"/>
      <c r="I44" s="62"/>
    </row>
    <row r="45" spans="1:9" ht="15" thickBot="1" x14ac:dyDescent="0.4">
      <c r="A45" s="21" t="s">
        <v>79</v>
      </c>
      <c r="B45" s="22"/>
      <c r="C45" s="22"/>
      <c r="D45" s="22"/>
      <c r="E45" s="23"/>
      <c r="F45" s="22"/>
      <c r="G45" s="22"/>
      <c r="H45" s="22"/>
      <c r="I45" s="24">
        <v>2072114860</v>
      </c>
    </row>
  </sheetData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C8DF-FA02-47FC-860D-EAFB93520846}">
  <dimension ref="A1:AM16"/>
  <sheetViews>
    <sheetView topLeftCell="Q1" zoomScale="94" zoomScaleNormal="94" workbookViewId="0">
      <selection activeCell="AG18" sqref="AG18"/>
    </sheetView>
  </sheetViews>
  <sheetFormatPr defaultRowHeight="14.5" x14ac:dyDescent="0.35"/>
  <sheetData>
    <row r="1" spans="1:39" ht="15" thickBot="1" x14ac:dyDescent="0.4">
      <c r="A1" s="128" t="s">
        <v>117</v>
      </c>
      <c r="B1" s="99" t="s">
        <v>118</v>
      </c>
      <c r="C1" s="99" t="s">
        <v>119</v>
      </c>
      <c r="D1" s="99" t="s">
        <v>120</v>
      </c>
      <c r="E1" s="99" t="s">
        <v>121</v>
      </c>
      <c r="F1" s="101" t="s">
        <v>122</v>
      </c>
      <c r="G1" s="101" t="s">
        <v>123</v>
      </c>
      <c r="H1" s="101" t="s">
        <v>124</v>
      </c>
      <c r="I1" s="126" t="s">
        <v>125</v>
      </c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103" t="s">
        <v>126</v>
      </c>
    </row>
    <row r="2" spans="1:39" ht="15" thickBot="1" x14ac:dyDescent="0.4">
      <c r="A2" s="129"/>
      <c r="B2" s="100"/>
      <c r="C2" s="100"/>
      <c r="D2" s="100"/>
      <c r="E2" s="100"/>
      <c r="F2" s="102"/>
      <c r="G2" s="102"/>
      <c r="H2" s="102"/>
      <c r="I2" s="106" t="s">
        <v>127</v>
      </c>
      <c r="J2" s="107"/>
      <c r="K2" s="107"/>
      <c r="L2" s="108"/>
      <c r="M2" s="109">
        <v>45863</v>
      </c>
      <c r="N2" s="110"/>
      <c r="O2" s="110"/>
      <c r="P2" s="111"/>
      <c r="Q2" s="106" t="s">
        <v>128</v>
      </c>
      <c r="R2" s="107"/>
      <c r="S2" s="107"/>
      <c r="T2" s="107"/>
      <c r="U2" s="108"/>
      <c r="V2" s="109">
        <v>45925</v>
      </c>
      <c r="W2" s="110"/>
      <c r="X2" s="110"/>
      <c r="Y2" s="111"/>
      <c r="Z2" s="106" t="s">
        <v>129</v>
      </c>
      <c r="AA2" s="107"/>
      <c r="AB2" s="107"/>
      <c r="AC2" s="108"/>
      <c r="AD2" s="109">
        <v>45986</v>
      </c>
      <c r="AE2" s="110"/>
      <c r="AF2" s="110"/>
      <c r="AG2" s="110"/>
      <c r="AH2" s="111"/>
      <c r="AI2" s="106" t="s">
        <v>130</v>
      </c>
      <c r="AJ2" s="107"/>
      <c r="AK2" s="107"/>
      <c r="AL2" s="108"/>
      <c r="AM2" s="104"/>
    </row>
    <row r="3" spans="1:39" ht="15" thickBot="1" x14ac:dyDescent="0.4">
      <c r="A3" s="129"/>
      <c r="B3" s="130"/>
      <c r="C3" s="130"/>
      <c r="D3" s="130"/>
      <c r="E3" s="100"/>
      <c r="F3" s="102"/>
      <c r="G3" s="102"/>
      <c r="H3" s="102"/>
      <c r="I3" s="80" t="s">
        <v>131</v>
      </c>
      <c r="J3" s="80" t="s">
        <v>132</v>
      </c>
      <c r="K3" s="80" t="s">
        <v>133</v>
      </c>
      <c r="L3" s="80" t="s">
        <v>134</v>
      </c>
      <c r="M3" s="80" t="s">
        <v>131</v>
      </c>
      <c r="N3" s="80" t="s">
        <v>132</v>
      </c>
      <c r="O3" s="80" t="s">
        <v>133</v>
      </c>
      <c r="P3" s="80" t="s">
        <v>134</v>
      </c>
      <c r="Q3" s="80" t="s">
        <v>131</v>
      </c>
      <c r="R3" s="80" t="s">
        <v>132</v>
      </c>
      <c r="S3" s="80" t="s">
        <v>133</v>
      </c>
      <c r="T3" s="80" t="s">
        <v>134</v>
      </c>
      <c r="U3" s="80" t="s">
        <v>135</v>
      </c>
      <c r="V3" s="80" t="s">
        <v>131</v>
      </c>
      <c r="W3" s="80" t="s">
        <v>132</v>
      </c>
      <c r="X3" s="80" t="s">
        <v>133</v>
      </c>
      <c r="Y3" s="80" t="s">
        <v>134</v>
      </c>
      <c r="Z3" s="80" t="s">
        <v>131</v>
      </c>
      <c r="AA3" s="80" t="s">
        <v>132</v>
      </c>
      <c r="AB3" s="80" t="s">
        <v>133</v>
      </c>
      <c r="AC3" s="80" t="s">
        <v>134</v>
      </c>
      <c r="AD3" s="80" t="s">
        <v>131</v>
      </c>
      <c r="AE3" s="80" t="s">
        <v>132</v>
      </c>
      <c r="AF3" s="80" t="s">
        <v>133</v>
      </c>
      <c r="AG3" s="80" t="s">
        <v>134</v>
      </c>
      <c r="AH3" s="80" t="s">
        <v>135</v>
      </c>
      <c r="AI3" s="80" t="s">
        <v>131</v>
      </c>
      <c r="AJ3" s="80" t="s">
        <v>132</v>
      </c>
      <c r="AK3" s="80" t="s">
        <v>133</v>
      </c>
      <c r="AL3" s="80" t="s">
        <v>134</v>
      </c>
      <c r="AM3" s="105"/>
    </row>
    <row r="4" spans="1:39" ht="22.5" x14ac:dyDescent="0.45">
      <c r="A4" s="63"/>
      <c r="B4" s="64"/>
      <c r="C4" s="65"/>
      <c r="D4" s="66"/>
      <c r="E4" s="67"/>
      <c r="F4" s="81"/>
      <c r="G4" s="81"/>
      <c r="H4" s="81"/>
      <c r="I4" s="82"/>
      <c r="J4" s="82"/>
      <c r="K4" s="82"/>
      <c r="L4" s="82"/>
      <c r="M4" s="83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4"/>
    </row>
    <row r="5" spans="1:39" x14ac:dyDescent="0.35">
      <c r="A5" s="115">
        <v>1</v>
      </c>
      <c r="B5" s="117" t="s">
        <v>136</v>
      </c>
      <c r="C5" s="117" t="s">
        <v>137</v>
      </c>
      <c r="D5" s="117" t="s">
        <v>138</v>
      </c>
      <c r="E5" s="120">
        <v>45881</v>
      </c>
      <c r="F5" s="112">
        <v>45899</v>
      </c>
      <c r="G5" s="123">
        <v>45813</v>
      </c>
      <c r="H5" s="112">
        <v>45840</v>
      </c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6"/>
    </row>
    <row r="6" spans="1:39" x14ac:dyDescent="0.35">
      <c r="A6" s="116"/>
      <c r="B6" s="118"/>
      <c r="C6" s="118"/>
      <c r="D6" s="118"/>
      <c r="E6" s="121"/>
      <c r="F6" s="113"/>
      <c r="G6" s="124"/>
      <c r="H6" s="113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6"/>
    </row>
    <row r="7" spans="1:39" x14ac:dyDescent="0.35">
      <c r="A7" s="116"/>
      <c r="B7" s="119"/>
      <c r="C7" s="119"/>
      <c r="D7" s="119"/>
      <c r="E7" s="122"/>
      <c r="F7" s="114"/>
      <c r="G7" s="125"/>
      <c r="H7" s="114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7"/>
      <c r="AC7" s="87"/>
      <c r="AD7" s="87"/>
      <c r="AE7" s="87"/>
      <c r="AF7" s="87"/>
      <c r="AG7" s="87"/>
      <c r="AH7" s="87"/>
      <c r="AI7" s="87"/>
      <c r="AJ7" s="87"/>
      <c r="AK7" s="85"/>
      <c r="AL7" s="85"/>
      <c r="AM7" s="86"/>
    </row>
    <row r="8" spans="1:39" x14ac:dyDescent="0.35">
      <c r="A8" s="116"/>
      <c r="B8" s="68" t="s">
        <v>139</v>
      </c>
      <c r="C8" s="68"/>
      <c r="D8" s="68"/>
      <c r="E8" s="69"/>
      <c r="F8" s="88"/>
      <c r="G8" s="89">
        <f>G5</f>
        <v>45813</v>
      </c>
      <c r="H8" s="89">
        <f>H5</f>
        <v>45840</v>
      </c>
      <c r="I8" s="85"/>
      <c r="J8" s="90"/>
      <c r="K8" s="91"/>
      <c r="L8" s="91"/>
      <c r="M8" s="91"/>
      <c r="N8" s="92"/>
      <c r="O8" s="9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6"/>
    </row>
    <row r="9" spans="1:39" x14ac:dyDescent="0.35">
      <c r="A9" s="116"/>
      <c r="B9" s="68" t="s">
        <v>140</v>
      </c>
      <c r="C9" s="68"/>
      <c r="D9" s="68"/>
      <c r="E9" s="69"/>
      <c r="F9" s="88"/>
      <c r="G9" s="89">
        <f>H8</f>
        <v>45840</v>
      </c>
      <c r="H9" s="89">
        <f>H8</f>
        <v>45840</v>
      </c>
      <c r="I9" s="85"/>
      <c r="J9" s="85"/>
      <c r="K9" s="85"/>
      <c r="L9" s="85"/>
      <c r="M9" s="93"/>
      <c r="N9" s="92"/>
      <c r="O9" s="9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6"/>
    </row>
    <row r="10" spans="1:39" ht="15" thickBot="1" x14ac:dyDescent="0.4">
      <c r="A10" s="74"/>
      <c r="B10" s="75"/>
      <c r="C10" s="76"/>
      <c r="D10" s="77"/>
      <c r="E10" s="78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6"/>
    </row>
    <row r="13" spans="1:39" x14ac:dyDescent="0.35">
      <c r="J13" s="70"/>
      <c r="K13" t="s">
        <v>141</v>
      </c>
    </row>
    <row r="14" spans="1:39" x14ac:dyDescent="0.35">
      <c r="J14" s="71"/>
      <c r="K14" t="s">
        <v>142</v>
      </c>
    </row>
    <row r="15" spans="1:39" x14ac:dyDescent="0.35">
      <c r="J15" s="73"/>
      <c r="K15" t="s">
        <v>143</v>
      </c>
    </row>
    <row r="16" spans="1:39" x14ac:dyDescent="0.35">
      <c r="J16" s="72"/>
      <c r="K16" t="s">
        <v>144</v>
      </c>
    </row>
  </sheetData>
  <mergeCells count="25">
    <mergeCell ref="H5:H7"/>
    <mergeCell ref="AI2:AL2"/>
    <mergeCell ref="A5:A9"/>
    <mergeCell ref="B5:B7"/>
    <mergeCell ref="C5:C7"/>
    <mergeCell ref="D5:D7"/>
    <mergeCell ref="E5:E7"/>
    <mergeCell ref="F5:F7"/>
    <mergeCell ref="G5:G7"/>
    <mergeCell ref="G1:G3"/>
    <mergeCell ref="H1:H3"/>
    <mergeCell ref="I1:Y1"/>
    <mergeCell ref="A1:A3"/>
    <mergeCell ref="B1:B3"/>
    <mergeCell ref="C1:C3"/>
    <mergeCell ref="D1:D3"/>
    <mergeCell ref="E1:E3"/>
    <mergeCell ref="F1:F3"/>
    <mergeCell ref="AM1:AM3"/>
    <mergeCell ref="I2:L2"/>
    <mergeCell ref="M2:P2"/>
    <mergeCell ref="Q2:U2"/>
    <mergeCell ref="V2:Y2"/>
    <mergeCell ref="Z2:AC2"/>
    <mergeCell ref="AD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WAP</vt:lpstr>
      <vt:lpstr>BOQ.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FRANKY</dc:creator>
  <cp:lastModifiedBy>Junior Jonathan Panjaitan</cp:lastModifiedBy>
  <dcterms:created xsi:type="dcterms:W3CDTF">2025-01-22T07:07:15Z</dcterms:created>
  <dcterms:modified xsi:type="dcterms:W3CDTF">2025-06-14T06:04:40Z</dcterms:modified>
</cp:coreProperties>
</file>